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samwatson/Downloads/"/>
    </mc:Choice>
  </mc:AlternateContent>
  <xr:revisionPtr revIDLastSave="0" documentId="8_{F1089064-6367-9B45-B954-63C6739C5CC8}" xr6:coauthVersionLast="47" xr6:coauthVersionMax="47" xr10:uidLastSave="{00000000-0000-0000-0000-000000000000}"/>
  <bookViews>
    <workbookView xWindow="5180" yWindow="1880" windowWidth="28040" windowHeight="17180" activeTab="1" xr2:uid="{CC460E92-24DF-1145-9E78-E202A55DAAB5}"/>
  </bookViews>
  <sheets>
    <sheet name="Inputs" sheetId="1" r:id="rId1"/>
    <sheet name="Calculations" sheetId="2" r:id="rId2"/>
    <sheet name="Scenarios" sheetId="3" r:id="rId3"/>
    <sheet name="Decisio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3" l="1"/>
  <c r="D4" i="3"/>
  <c r="D2" i="3"/>
  <c r="G3" i="2"/>
  <c r="G4" i="2"/>
  <c r="G5" i="2"/>
  <c r="G6" i="2"/>
  <c r="G7" i="2"/>
  <c r="G8" i="2"/>
  <c r="G9" i="2"/>
  <c r="G10" i="2"/>
  <c r="G11" i="2"/>
  <c r="G12" i="2"/>
  <c r="G13" i="2"/>
  <c r="F3" i="2"/>
  <c r="F4" i="2"/>
  <c r="F5" i="2"/>
  <c r="F6" i="2"/>
  <c r="F7" i="2"/>
  <c r="F8" i="2"/>
  <c r="F9" i="2"/>
  <c r="F10" i="2"/>
  <c r="F11" i="2"/>
  <c r="F12" i="2"/>
  <c r="F13" i="2"/>
  <c r="E3" i="2"/>
  <c r="E4" i="2"/>
  <c r="E5" i="2"/>
  <c r="E6" i="2"/>
  <c r="E7" i="2"/>
  <c r="E8" i="2"/>
  <c r="E9" i="2"/>
  <c r="E10" i="2"/>
  <c r="E11" i="2"/>
  <c r="E12" i="2"/>
  <c r="E13" i="2"/>
  <c r="D3" i="2"/>
  <c r="D4" i="2"/>
  <c r="D5" i="2"/>
  <c r="D6" i="2"/>
  <c r="D7" i="2"/>
  <c r="D8" i="2"/>
  <c r="D9" i="2"/>
  <c r="D10" i="2"/>
  <c r="D11" i="2"/>
  <c r="D12" i="2"/>
  <c r="D13" i="2"/>
  <c r="C3" i="2"/>
  <c r="C4" i="2"/>
  <c r="C5" i="2"/>
  <c r="C6" i="2"/>
  <c r="C7" i="2"/>
  <c r="C8" i="2"/>
  <c r="C9" i="2"/>
  <c r="C10" i="2"/>
  <c r="C11" i="2"/>
  <c r="C12" i="2"/>
  <c r="C13" i="2"/>
  <c r="B3" i="2"/>
  <c r="B4" i="2"/>
  <c r="B5" i="2"/>
  <c r="B6" i="2"/>
  <c r="B7" i="2"/>
  <c r="B8" i="2"/>
  <c r="B9" i="2"/>
  <c r="B10" i="2"/>
  <c r="B11" i="2"/>
  <c r="B12" i="2"/>
  <c r="B13" i="2"/>
  <c r="A3" i="2"/>
  <c r="A4" i="2"/>
  <c r="A5" i="2"/>
  <c r="A6" i="2"/>
  <c r="A7" i="2"/>
  <c r="A8" i="2"/>
  <c r="A9" i="2"/>
  <c r="A10" i="2"/>
  <c r="A11" i="2"/>
  <c r="A12" i="2"/>
  <c r="A13" i="2"/>
  <c r="G2" i="2"/>
  <c r="F2" i="2"/>
  <c r="E2" i="2"/>
  <c r="D2" i="2"/>
  <c r="C2" i="2"/>
  <c r="B2" i="2"/>
  <c r="A2" i="2"/>
</calcChain>
</file>

<file path=xl/sharedStrings.xml><?xml version="1.0" encoding="utf-8"?>
<sst xmlns="http://schemas.openxmlformats.org/spreadsheetml/2006/main" count="24" uniqueCount="19">
  <si>
    <t>Weeks</t>
  </si>
  <si>
    <t>Trips</t>
  </si>
  <si>
    <t>Price</t>
  </si>
  <si>
    <t>Cost Per Ride</t>
  </si>
  <si>
    <t>Week</t>
  </si>
  <si>
    <t>Revenue</t>
  </si>
  <si>
    <t>Cost</t>
  </si>
  <si>
    <t>Profit</t>
  </si>
  <si>
    <t>Margin</t>
  </si>
  <si>
    <t>Scenario</t>
  </si>
  <si>
    <t>Low Price</t>
  </si>
  <si>
    <t>Base Price</t>
  </si>
  <si>
    <t>High Price</t>
  </si>
  <si>
    <t>Objective: Analyze how pricing impacts revenue and demand using an Uber-style model.</t>
  </si>
  <si>
    <t>Key Finding: Higher prices reduce trips but can increase total revenue. Lower prices increase trips but reduce margins.</t>
  </si>
  <si>
    <t>Insight: Revenue is maximized when pricing is balanced with demand, not when trips are maximized.</t>
  </si>
  <si>
    <t>Weak Point: Static pricing may miss revenue opportunities during high-demand periods.</t>
  </si>
  <si>
    <t>Recommendation: Increase pricing during high-demand periods to improve revenue while maintaining sufficient trip volume.</t>
  </si>
  <si>
    <t>Impact: Higher revenue and improved margins.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</si>
</sst>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9" fontId="0" fillId="0" borderId="0" xfId="2" applyFont="1"/>
    <xf numFmtId="44" fontId="0" fillId="0" borderId="0" xfId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Calculations!$A$1</c:f>
              <c:strCache>
                <c:ptCount val="1"/>
                <c:pt idx="0">
                  <c:v>Week</c:v>
                </c:pt>
              </c:strCache>
            </c:strRef>
          </c:tx>
          <c:spPr>
            <a:solidFill>
              <a:schemeClr val="accent6">
                <a:alpha val="88000"/>
              </a:scheme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6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6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Calculations!$A$2:$A$13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8-B14C-A8B0-C4F4FD239081}"/>
            </c:ext>
          </c:extLst>
        </c:ser>
        <c:ser>
          <c:idx val="1"/>
          <c:order val="1"/>
          <c:tx>
            <c:strRef>
              <c:f>Calculations!$D$1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5">
                <a:alpha val="88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5">
                  <a:lumMod val="50000"/>
                </a:schemeClr>
              </a:contourClr>
            </a:sp3d>
          </c:spPr>
          <c:invertIfNegative val="0"/>
          <c:dLbls>
            <c:numFmt formatCode="&quot;$&quot;#,##0.00" sourceLinked="0"/>
            <c:spPr>
              <a:solidFill>
                <a:schemeClr val="accent5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1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Calculations!$D$2:$D$13</c:f>
              <c:numCache>
                <c:formatCode>_("$"* #,##0.00_);_("$"* \(#,##0.00\);_("$"* "-"??_);_(@_)</c:formatCode>
                <c:ptCount val="12"/>
                <c:pt idx="0">
                  <c:v>150000</c:v>
                </c:pt>
                <c:pt idx="1">
                  <c:v>154500</c:v>
                </c:pt>
                <c:pt idx="2">
                  <c:v>172800</c:v>
                </c:pt>
                <c:pt idx="3">
                  <c:v>178500</c:v>
                </c:pt>
                <c:pt idx="4">
                  <c:v>137200</c:v>
                </c:pt>
                <c:pt idx="5">
                  <c:v>153000</c:v>
                </c:pt>
                <c:pt idx="6">
                  <c:v>176000</c:v>
                </c:pt>
                <c:pt idx="7">
                  <c:v>190400</c:v>
                </c:pt>
                <c:pt idx="8">
                  <c:v>133000</c:v>
                </c:pt>
                <c:pt idx="9">
                  <c:v>150000</c:v>
                </c:pt>
                <c:pt idx="10">
                  <c:v>171200</c:v>
                </c:pt>
                <c:pt idx="11">
                  <c:v>185300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48-B14C-A8B0-C4F4FD2390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1577316607"/>
        <c:axId val="1577313023"/>
        <c:axId val="0"/>
      </c:bar3DChart>
      <c:catAx>
        <c:axId val="15773166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313023"/>
        <c:crosses val="autoZero"/>
        <c:auto val="1"/>
        <c:lblAlgn val="ctr"/>
        <c:lblOffset val="100"/>
        <c:noMultiLvlLbl val="0"/>
      </c:catAx>
      <c:valAx>
        <c:axId val="1577313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31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521675175218481"/>
          <c:y val="0.90487152921674263"/>
          <c:w val="0.41857748550661944"/>
          <c:h val="7.5391628677994205E-2"/>
        </c:manualLayout>
      </c:layout>
      <c:overlay val="0"/>
      <c:spPr>
        <a:pattFill prst="divot">
          <a:fgClr>
            <a:schemeClr val="tx1"/>
          </a:fgClr>
          <a:bgClr>
            <a:schemeClr val="tx1">
              <a:lumMod val="75000"/>
              <a:lumOff val="25000"/>
            </a:schemeClr>
          </a:bgClr>
        </a:pattFill>
        <a:ln>
          <a:solidFill>
            <a:schemeClr val="tx1">
              <a:lumMod val="50000"/>
              <a:lumOff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Calculations!$A$1</c:f>
              <c:strCache>
                <c:ptCount val="1"/>
                <c:pt idx="0">
                  <c:v>Week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Calculations!$A$2:$A$13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96-7E44-ADFC-513F692F2101}"/>
            </c:ext>
          </c:extLst>
        </c:ser>
        <c:ser>
          <c:idx val="1"/>
          <c:order val="1"/>
          <c:tx>
            <c:strRef>
              <c:f>Calculations!$G$1</c:f>
              <c:strCache>
                <c:ptCount val="1"/>
                <c:pt idx="0">
                  <c:v>Margin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numFmt formatCode="0.00%" sourceLinked="0"/>
            <c:spPr>
              <a:solidFill>
                <a:schemeClr val="accent5">
                  <a:alpha val="23262"/>
                </a:schemeClr>
              </a:solidFill>
              <a:ln>
                <a:solidFill>
                  <a:schemeClr val="bg2">
                    <a:lumMod val="9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1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Calculations!$G$2:$G$13</c:f>
              <c:numCache>
                <c:formatCode>0%</c:formatCode>
                <c:ptCount val="12"/>
                <c:pt idx="0">
                  <c:v>0.33333333333333331</c:v>
                </c:pt>
                <c:pt idx="1">
                  <c:v>0.33333333333333331</c:v>
                </c:pt>
                <c:pt idx="2">
                  <c:v>0.375</c:v>
                </c:pt>
                <c:pt idx="3">
                  <c:v>0.41176470588235292</c:v>
                </c:pt>
                <c:pt idx="4">
                  <c:v>0.2857142857142857</c:v>
                </c:pt>
                <c:pt idx="5">
                  <c:v>0.33333333333333331</c:v>
                </c:pt>
                <c:pt idx="6">
                  <c:v>0.375</c:v>
                </c:pt>
                <c:pt idx="7">
                  <c:v>0.41176470588235292</c:v>
                </c:pt>
                <c:pt idx="8">
                  <c:v>0.2857142857142857</c:v>
                </c:pt>
                <c:pt idx="9">
                  <c:v>0.33333333333333331</c:v>
                </c:pt>
                <c:pt idx="10">
                  <c:v>0.375</c:v>
                </c:pt>
                <c:pt idx="11">
                  <c:v>0.41176470588235292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96-7E44-ADFC-513F692F2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dropLines>
        <c:smooth val="0"/>
        <c:axId val="1579274623"/>
        <c:axId val="1579272831"/>
      </c:lineChart>
      <c:catAx>
        <c:axId val="1579274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W E E K</a:t>
                </a:r>
              </a:p>
            </c:rich>
          </c:tx>
          <c:overlay val="0"/>
          <c:spPr>
            <a:pattFill prst="divot">
              <a:fgClr>
                <a:schemeClr val="tx1"/>
              </a:fgClr>
              <a:bgClr>
                <a:schemeClr val="bg2">
                  <a:lumMod val="25000"/>
                </a:schemeClr>
              </a:bgClr>
            </a:patt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accent3"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272831"/>
        <c:crosses val="autoZero"/>
        <c:auto val="1"/>
        <c:lblAlgn val="ctr"/>
        <c:lblOffset val="100"/>
        <c:noMultiLvlLbl val="0"/>
      </c:catAx>
      <c:valAx>
        <c:axId val="1579272831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m A R G I N</a:t>
                </a:r>
              </a:p>
            </c:rich>
          </c:tx>
          <c:overlay val="0"/>
          <c:spPr>
            <a:pattFill prst="divot">
              <a:fgClr>
                <a:schemeClr val="tx1"/>
              </a:fgClr>
              <a:bgClr>
                <a:schemeClr val="bg2">
                  <a:lumMod val="25000"/>
                </a:schemeClr>
              </a:bgClr>
            </a:pattFill>
            <a:ln>
              <a:solidFill>
                <a:schemeClr val="bg2">
                  <a:lumMod val="50000"/>
                </a:schemeClr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27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952677944959853"/>
          <c:y val="0.35974091109898393"/>
          <c:w val="0.1372719004183883"/>
          <c:h val="0.23431355733998596"/>
        </c:manualLayout>
      </c:layout>
      <c:overlay val="0"/>
      <c:spPr>
        <a:pattFill prst="divot">
          <a:fgClr>
            <a:schemeClr val="tx1"/>
          </a:fgClr>
          <a:bgClr>
            <a:schemeClr val="bg2">
              <a:lumMod val="25000"/>
            </a:schemeClr>
          </a:bgClr>
        </a:pattFill>
        <a:ln>
          <a:solidFill>
            <a:schemeClr val="bg2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1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190500</xdr:rowOff>
    </xdr:from>
    <xdr:to>
      <xdr:col>7</xdr:col>
      <xdr:colOff>0</xdr:colOff>
      <xdr:row>32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F04E1E-1ED2-3074-1C61-313A5E6D8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819150</xdr:colOff>
      <xdr:row>14</xdr:row>
      <xdr:rowOff>0</xdr:rowOff>
    </xdr:from>
    <xdr:to>
      <xdr:col>13</xdr:col>
      <xdr:colOff>812800</xdr:colOff>
      <xdr:row>32</xdr:row>
      <xdr:rowOff>190500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9DC422F-EDCA-952C-0EDE-89AB875DE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02C9B-66AB-584B-BF62-809B64B207F6}">
  <dimension ref="A1:D13"/>
  <sheetViews>
    <sheetView workbookViewId="0">
      <selection activeCell="C21" sqref="C2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10000</v>
      </c>
      <c r="C2" s="5">
        <v>15</v>
      </c>
      <c r="D2" s="5">
        <v>10</v>
      </c>
    </row>
    <row r="3" spans="1:4" x14ac:dyDescent="0.2">
      <c r="A3">
        <v>2</v>
      </c>
      <c r="B3">
        <v>10300</v>
      </c>
      <c r="C3" s="5">
        <v>15</v>
      </c>
      <c r="D3" s="5">
        <v>10</v>
      </c>
    </row>
    <row r="4" spans="1:4" x14ac:dyDescent="0.2">
      <c r="A4">
        <v>3</v>
      </c>
      <c r="B4">
        <v>10800</v>
      </c>
      <c r="C4" s="5">
        <v>16</v>
      </c>
      <c r="D4" s="5">
        <v>10</v>
      </c>
    </row>
    <row r="5" spans="1:4" x14ac:dyDescent="0.2">
      <c r="A5">
        <v>4</v>
      </c>
      <c r="B5">
        <v>10500</v>
      </c>
      <c r="C5" s="5">
        <v>17</v>
      </c>
      <c r="D5" s="5">
        <v>10</v>
      </c>
    </row>
    <row r="6" spans="1:4" x14ac:dyDescent="0.2">
      <c r="A6">
        <v>5</v>
      </c>
      <c r="B6">
        <v>9800</v>
      </c>
      <c r="C6" s="5">
        <v>14</v>
      </c>
      <c r="D6" s="5">
        <v>10</v>
      </c>
    </row>
    <row r="7" spans="1:4" x14ac:dyDescent="0.2">
      <c r="A7">
        <v>6</v>
      </c>
      <c r="B7">
        <v>10200</v>
      </c>
      <c r="C7" s="5">
        <v>15</v>
      </c>
      <c r="D7" s="5">
        <v>10</v>
      </c>
    </row>
    <row r="8" spans="1:4" x14ac:dyDescent="0.2">
      <c r="A8">
        <v>7</v>
      </c>
      <c r="B8">
        <v>11000</v>
      </c>
      <c r="C8" s="5">
        <v>16</v>
      </c>
      <c r="D8" s="5">
        <v>10</v>
      </c>
    </row>
    <row r="9" spans="1:4" x14ac:dyDescent="0.2">
      <c r="A9">
        <v>8</v>
      </c>
      <c r="B9">
        <v>11200</v>
      </c>
      <c r="C9" s="5">
        <v>17</v>
      </c>
      <c r="D9" s="5">
        <v>10</v>
      </c>
    </row>
    <row r="10" spans="1:4" x14ac:dyDescent="0.2">
      <c r="A10">
        <v>9</v>
      </c>
      <c r="B10">
        <v>9500</v>
      </c>
      <c r="C10" s="5">
        <v>14</v>
      </c>
      <c r="D10" s="5">
        <v>10</v>
      </c>
    </row>
    <row r="11" spans="1:4" x14ac:dyDescent="0.2">
      <c r="A11">
        <v>10</v>
      </c>
      <c r="B11">
        <v>10000</v>
      </c>
      <c r="C11" s="5">
        <v>15</v>
      </c>
      <c r="D11" s="5">
        <v>10</v>
      </c>
    </row>
    <row r="12" spans="1:4" x14ac:dyDescent="0.2">
      <c r="A12">
        <v>11</v>
      </c>
      <c r="B12">
        <v>10700</v>
      </c>
      <c r="C12" s="5">
        <v>16</v>
      </c>
      <c r="D12" s="5">
        <v>10</v>
      </c>
    </row>
    <row r="13" spans="1:4" x14ac:dyDescent="0.2">
      <c r="A13">
        <v>12</v>
      </c>
      <c r="B13">
        <v>10900</v>
      </c>
      <c r="C13" s="5">
        <v>17</v>
      </c>
      <c r="D13" s="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D7118-64E7-F248-B992-31728892CBF1}">
  <dimension ref="A1:G13"/>
  <sheetViews>
    <sheetView tabSelected="1" workbookViewId="0">
      <selection activeCell="P20" sqref="P20"/>
    </sheetView>
  </sheetViews>
  <sheetFormatPr baseColWidth="10" defaultRowHeight="16" x14ac:dyDescent="0.2"/>
  <cols>
    <col min="4" max="5" width="12.5" bestFit="1" customWidth="1"/>
    <col min="6" max="6" width="11.5" bestFit="1" customWidth="1"/>
    <col min="7" max="7" width="10.83203125" style="4"/>
  </cols>
  <sheetData>
    <row r="1" spans="1:7" x14ac:dyDescent="0.2">
      <c r="A1" t="s">
        <v>4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s="4" t="s">
        <v>8</v>
      </c>
    </row>
    <row r="2" spans="1:7" x14ac:dyDescent="0.2">
      <c r="A2">
        <f>Inputs!A2</f>
        <v>1</v>
      </c>
      <c r="B2">
        <f>Inputs!B2</f>
        <v>10000</v>
      </c>
      <c r="C2" s="5">
        <f>Inputs!C2</f>
        <v>15</v>
      </c>
      <c r="D2" s="5">
        <f>B2*C2</f>
        <v>150000</v>
      </c>
      <c r="E2" s="5">
        <f>B2*Inputs!D2</f>
        <v>100000</v>
      </c>
      <c r="F2" s="5">
        <f>D2-E2</f>
        <v>50000</v>
      </c>
      <c r="G2" s="4">
        <f>F2/D2</f>
        <v>0.33333333333333331</v>
      </c>
    </row>
    <row r="3" spans="1:7" x14ac:dyDescent="0.2">
      <c r="A3">
        <f>Inputs!A3</f>
        <v>2</v>
      </c>
      <c r="B3">
        <f>Inputs!B3</f>
        <v>10300</v>
      </c>
      <c r="C3" s="5">
        <f>Inputs!C3</f>
        <v>15</v>
      </c>
      <c r="D3" s="5">
        <f t="shared" ref="D3:D13" si="0">B3*C3</f>
        <v>154500</v>
      </c>
      <c r="E3" s="5">
        <f>B3*Inputs!D3</f>
        <v>103000</v>
      </c>
      <c r="F3" s="5">
        <f t="shared" ref="F3:F13" si="1">D3-E3</f>
        <v>51500</v>
      </c>
      <c r="G3" s="4">
        <f t="shared" ref="G3:G13" si="2">F3/D3</f>
        <v>0.33333333333333331</v>
      </c>
    </row>
    <row r="4" spans="1:7" x14ac:dyDescent="0.2">
      <c r="A4">
        <f>Inputs!A4</f>
        <v>3</v>
      </c>
      <c r="B4">
        <f>Inputs!B4</f>
        <v>10800</v>
      </c>
      <c r="C4" s="5">
        <f>Inputs!C4</f>
        <v>16</v>
      </c>
      <c r="D4" s="5">
        <f t="shared" si="0"/>
        <v>172800</v>
      </c>
      <c r="E4" s="5">
        <f>B4*Inputs!D4</f>
        <v>108000</v>
      </c>
      <c r="F4" s="5">
        <f t="shared" si="1"/>
        <v>64800</v>
      </c>
      <c r="G4" s="4">
        <f t="shared" si="2"/>
        <v>0.375</v>
      </c>
    </row>
    <row r="5" spans="1:7" x14ac:dyDescent="0.2">
      <c r="A5">
        <f>Inputs!A5</f>
        <v>4</v>
      </c>
      <c r="B5">
        <f>Inputs!B5</f>
        <v>10500</v>
      </c>
      <c r="C5" s="5">
        <f>Inputs!C5</f>
        <v>17</v>
      </c>
      <c r="D5" s="5">
        <f t="shared" si="0"/>
        <v>178500</v>
      </c>
      <c r="E5" s="5">
        <f>B5*Inputs!D5</f>
        <v>105000</v>
      </c>
      <c r="F5" s="5">
        <f t="shared" si="1"/>
        <v>73500</v>
      </c>
      <c r="G5" s="4">
        <f t="shared" si="2"/>
        <v>0.41176470588235292</v>
      </c>
    </row>
    <row r="6" spans="1:7" x14ac:dyDescent="0.2">
      <c r="A6">
        <f>Inputs!A6</f>
        <v>5</v>
      </c>
      <c r="B6">
        <f>Inputs!B6</f>
        <v>9800</v>
      </c>
      <c r="C6" s="5">
        <f>Inputs!C6</f>
        <v>14</v>
      </c>
      <c r="D6" s="5">
        <f t="shared" si="0"/>
        <v>137200</v>
      </c>
      <c r="E6" s="5">
        <f>B6*Inputs!D6</f>
        <v>98000</v>
      </c>
      <c r="F6" s="5">
        <f t="shared" si="1"/>
        <v>39200</v>
      </c>
      <c r="G6" s="4">
        <f t="shared" si="2"/>
        <v>0.2857142857142857</v>
      </c>
    </row>
    <row r="7" spans="1:7" x14ac:dyDescent="0.2">
      <c r="A7">
        <f>Inputs!A7</f>
        <v>6</v>
      </c>
      <c r="B7">
        <f>Inputs!B7</f>
        <v>10200</v>
      </c>
      <c r="C7" s="5">
        <f>Inputs!C7</f>
        <v>15</v>
      </c>
      <c r="D7" s="5">
        <f t="shared" si="0"/>
        <v>153000</v>
      </c>
      <c r="E7" s="5">
        <f>B7*Inputs!D7</f>
        <v>102000</v>
      </c>
      <c r="F7" s="5">
        <f t="shared" si="1"/>
        <v>51000</v>
      </c>
      <c r="G7" s="4">
        <f t="shared" si="2"/>
        <v>0.33333333333333331</v>
      </c>
    </row>
    <row r="8" spans="1:7" x14ac:dyDescent="0.2">
      <c r="A8">
        <f>Inputs!A8</f>
        <v>7</v>
      </c>
      <c r="B8">
        <f>Inputs!B8</f>
        <v>11000</v>
      </c>
      <c r="C8" s="5">
        <f>Inputs!C8</f>
        <v>16</v>
      </c>
      <c r="D8" s="5">
        <f t="shared" si="0"/>
        <v>176000</v>
      </c>
      <c r="E8" s="5">
        <f>B8*Inputs!D8</f>
        <v>110000</v>
      </c>
      <c r="F8" s="5">
        <f t="shared" si="1"/>
        <v>66000</v>
      </c>
      <c r="G8" s="4">
        <f t="shared" si="2"/>
        <v>0.375</v>
      </c>
    </row>
    <row r="9" spans="1:7" x14ac:dyDescent="0.2">
      <c r="A9">
        <f>Inputs!A9</f>
        <v>8</v>
      </c>
      <c r="B9">
        <f>Inputs!B9</f>
        <v>11200</v>
      </c>
      <c r="C9" s="5">
        <f>Inputs!C9</f>
        <v>17</v>
      </c>
      <c r="D9" s="5">
        <f t="shared" si="0"/>
        <v>190400</v>
      </c>
      <c r="E9" s="5">
        <f>B9*Inputs!D9</f>
        <v>112000</v>
      </c>
      <c r="F9" s="5">
        <f t="shared" si="1"/>
        <v>78400</v>
      </c>
      <c r="G9" s="4">
        <f t="shared" si="2"/>
        <v>0.41176470588235292</v>
      </c>
    </row>
    <row r="10" spans="1:7" x14ac:dyDescent="0.2">
      <c r="A10">
        <f>Inputs!A10</f>
        <v>9</v>
      </c>
      <c r="B10">
        <f>Inputs!B10</f>
        <v>9500</v>
      </c>
      <c r="C10" s="5">
        <f>Inputs!C10</f>
        <v>14</v>
      </c>
      <c r="D10" s="5">
        <f t="shared" si="0"/>
        <v>133000</v>
      </c>
      <c r="E10" s="5">
        <f>B10*Inputs!D10</f>
        <v>95000</v>
      </c>
      <c r="F10" s="5">
        <f t="shared" si="1"/>
        <v>38000</v>
      </c>
      <c r="G10" s="4">
        <f t="shared" si="2"/>
        <v>0.2857142857142857</v>
      </c>
    </row>
    <row r="11" spans="1:7" x14ac:dyDescent="0.2">
      <c r="A11">
        <f>Inputs!A11</f>
        <v>10</v>
      </c>
      <c r="B11">
        <f>Inputs!B11</f>
        <v>10000</v>
      </c>
      <c r="C11" s="5">
        <f>Inputs!C11</f>
        <v>15</v>
      </c>
      <c r="D11" s="5">
        <f t="shared" si="0"/>
        <v>150000</v>
      </c>
      <c r="E11" s="5">
        <f>B11*Inputs!D11</f>
        <v>100000</v>
      </c>
      <c r="F11" s="5">
        <f t="shared" si="1"/>
        <v>50000</v>
      </c>
      <c r="G11" s="4">
        <f t="shared" si="2"/>
        <v>0.33333333333333331</v>
      </c>
    </row>
    <row r="12" spans="1:7" x14ac:dyDescent="0.2">
      <c r="A12">
        <f>Inputs!A12</f>
        <v>11</v>
      </c>
      <c r="B12">
        <f>Inputs!B12</f>
        <v>10700</v>
      </c>
      <c r="C12" s="5">
        <f>Inputs!C12</f>
        <v>16</v>
      </c>
      <c r="D12" s="5">
        <f t="shared" si="0"/>
        <v>171200</v>
      </c>
      <c r="E12" s="5">
        <f>B12*Inputs!D12</f>
        <v>107000</v>
      </c>
      <c r="F12" s="5">
        <f t="shared" si="1"/>
        <v>64200</v>
      </c>
      <c r="G12" s="4">
        <f t="shared" si="2"/>
        <v>0.375</v>
      </c>
    </row>
    <row r="13" spans="1:7" x14ac:dyDescent="0.2">
      <c r="A13">
        <f>Inputs!A13</f>
        <v>12</v>
      </c>
      <c r="B13">
        <f>Inputs!B13</f>
        <v>10900</v>
      </c>
      <c r="C13" s="5">
        <f>Inputs!C13</f>
        <v>17</v>
      </c>
      <c r="D13" s="5">
        <f t="shared" si="0"/>
        <v>185300</v>
      </c>
      <c r="E13" s="5">
        <f>B13*Inputs!D13</f>
        <v>109000</v>
      </c>
      <c r="F13" s="5">
        <f t="shared" si="1"/>
        <v>76300</v>
      </c>
      <c r="G13" s="4">
        <f t="shared" si="2"/>
        <v>0.41176470588235292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4F027-FF74-5044-A3FA-BA141E50DB21}">
  <dimension ref="A1:D4"/>
  <sheetViews>
    <sheetView workbookViewId="0">
      <selection activeCell="D13" sqref="D13"/>
    </sheetView>
  </sheetViews>
  <sheetFormatPr baseColWidth="10" defaultRowHeight="16" x14ac:dyDescent="0.2"/>
  <cols>
    <col min="4" max="4" width="12.5" bestFit="1" customWidth="1"/>
  </cols>
  <sheetData>
    <row r="1" spans="1:4" x14ac:dyDescent="0.2">
      <c r="A1" t="s">
        <v>9</v>
      </c>
      <c r="B1" t="s">
        <v>2</v>
      </c>
      <c r="C1" t="s">
        <v>1</v>
      </c>
      <c r="D1" t="s">
        <v>5</v>
      </c>
    </row>
    <row r="2" spans="1:4" x14ac:dyDescent="0.2">
      <c r="A2" t="s">
        <v>10</v>
      </c>
      <c r="B2" s="5">
        <v>13</v>
      </c>
      <c r="C2">
        <v>11500</v>
      </c>
      <c r="D2" s="5">
        <f>B2*C2</f>
        <v>149500</v>
      </c>
    </row>
    <row r="3" spans="1:4" x14ac:dyDescent="0.2">
      <c r="A3" t="s">
        <v>11</v>
      </c>
      <c r="B3" s="5">
        <v>15</v>
      </c>
      <c r="C3">
        <v>10000</v>
      </c>
      <c r="D3" s="5">
        <f t="shared" ref="D3:D4" si="0">B3*C3</f>
        <v>150000</v>
      </c>
    </row>
    <row r="4" spans="1:4" x14ac:dyDescent="0.2">
      <c r="A4" t="s">
        <v>12</v>
      </c>
      <c r="B4" s="5">
        <v>18</v>
      </c>
      <c r="C4">
        <v>9200</v>
      </c>
      <c r="D4" s="5">
        <f t="shared" si="0"/>
        <v>165600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3CF34-FF57-1046-9EB1-D70E076E4C15}">
  <dimension ref="A1:A6"/>
  <sheetViews>
    <sheetView workbookViewId="0">
      <selection activeCell="C2" sqref="C2"/>
    </sheetView>
  </sheetViews>
  <sheetFormatPr baseColWidth="10" defaultRowHeight="16" x14ac:dyDescent="0.2"/>
  <cols>
    <col min="1" max="1" width="10.83203125" style="1"/>
  </cols>
  <sheetData>
    <row r="1" spans="1:1" s="3" customFormat="1" ht="170" x14ac:dyDescent="0.2">
      <c r="A1" s="2" t="s">
        <v>13</v>
      </c>
    </row>
    <row r="2" spans="1:1" ht="238" x14ac:dyDescent="0.2">
      <c r="A2" s="1" t="s">
        <v>14</v>
      </c>
    </row>
    <row r="3" spans="1:1" s="3" customFormat="1" ht="187" x14ac:dyDescent="0.2">
      <c r="A3" s="2" t="s">
        <v>15</v>
      </c>
    </row>
    <row r="4" spans="1:1" ht="170" x14ac:dyDescent="0.2">
      <c r="A4" s="1" t="s">
        <v>16</v>
      </c>
    </row>
    <row r="5" spans="1:1" s="3" customFormat="1" ht="221" x14ac:dyDescent="0.2">
      <c r="A5" s="2" t="s">
        <v>17</v>
      </c>
    </row>
    <row r="6" spans="1:1" ht="102" x14ac:dyDescent="0.2">
      <c r="A6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Calculations</vt:lpstr>
      <vt:lpstr>Scenarios</vt:lpstr>
      <vt:lpstr>Decision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Watson</dc:creator>
  <cp:lastModifiedBy>Samuel Watson</cp:lastModifiedBy>
  <dcterms:created xsi:type="dcterms:W3CDTF">2026-04-29T01:08:52Z</dcterms:created>
  <dcterms:modified xsi:type="dcterms:W3CDTF">2026-04-29T03:54:15Z</dcterms:modified>
</cp:coreProperties>
</file>